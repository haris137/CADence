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" sheetId="1" state="visible" r:id="rId3"/>
    <sheet name="Operations" sheetId="2" state="visible" r:id="rId4"/>
    <sheet name="Answer_Key" sheetId="3" state="visible" r:id="rId5"/>
    <sheet name="Assumptions" sheetId="4" state="visible" r:id="rId6"/>
    <sheet name="READ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<sst xmlns="http://schemas.openxmlformats.org/spreadsheetml/2006/main" count="148" uniqueCount="134">
  <si>
    <t xml:space="preserve">Part Number</t>
  </si>
  <si>
    <t xml:space="preserve">Part Name</t>
  </si>
  <si>
    <t xml:space="preserve">Description</t>
  </si>
  <si>
    <t xml:space="preserve">Drawing File (PDF)</t>
  </si>
  <si>
    <t xml:space="preserve">3D Model File (IGES)</t>
  </si>
  <si>
    <t xml:space="preserve">Drawing Source</t>
  </si>
  <si>
    <t xml:space="preserve">Nominal Size (in)</t>
  </si>
  <si>
    <t xml:space="preserve">Pressure Class</t>
  </si>
  <si>
    <t xml:space="preserve">Facing</t>
  </si>
  <si>
    <t xml:space="preserve">Schedule / Type</t>
  </si>
  <si>
    <t xml:space="preserve">Material</t>
  </si>
  <si>
    <t xml:space="preserve">Raw Stock</t>
  </si>
  <si>
    <t xml:space="preserve">Finished OD (in)</t>
  </si>
  <si>
    <t xml:space="preserve">Flange Thickness (in)</t>
  </si>
  <si>
    <t xml:space="preserve">Bore Dia (in)</t>
  </si>
  <si>
    <t xml:space="preserve">Bolt Holes</t>
  </si>
  <si>
    <t xml:space="preserve">Production Qty (per batch)</t>
  </si>
  <si>
    <t xml:space="preserve">Total Setup Time (min/batch)</t>
  </si>
  <si>
    <t xml:space="preserve">Total Cycle Time (min/part)</t>
  </si>
  <si>
    <t xml:space="preserve">Time per Part incl. Setup Share (min)</t>
  </si>
  <si>
    <t xml:space="preserve">Material Cost (USD/part)</t>
  </si>
  <si>
    <t xml:space="preserve">Machining Cost (USD/part)</t>
  </si>
  <si>
    <t xml:space="preserve">Est. Unit Cost (USD)</t>
  </si>
  <si>
    <t xml:space="preserve">Inspection Summary</t>
  </si>
  <si>
    <t xml:space="preserve">Data Status</t>
  </si>
  <si>
    <t xml:space="preserve">Notes</t>
  </si>
  <si>
    <t xml:space="preserve">FLANGE, BLIND, RF, 1/2 NPS, CLASS 150</t>
  </si>
  <si>
    <t xml:space="preserve">Class 150 blind flange with raised face for 1/2 in nominal pipe. Solid disc, no bore.</t>
  </si>
  <si>
    <t xml:space="preserve">0_5-150-BLIND-RF-FLANGE.pdf</t>
  </si>
  <si>
    <t xml:space="preserve">0_5-150-BLIND-RF-FLANGE.igs</t>
  </si>
  <si>
    <t xml:space="preserve">Texas Flange</t>
  </si>
  <si>
    <t xml:space="preserve">1/2</t>
  </si>
  <si>
    <t xml:space="preserve">150</t>
  </si>
  <si>
    <t xml:space="preserve">Raised face (RF)</t>
  </si>
  <si>
    <t xml:space="preserve">Blind (no bore)</t>
  </si>
  <si>
    <t xml:space="preserve">ASTM A105 (forged carbon steel)</t>
  </si>
  <si>
    <t xml:space="preserve">Forged blank</t>
  </si>
  <si>
    <t xml:space="preserve">N/A</t>
  </si>
  <si>
    <t xml:space="preserve">4 x Dia 0.62 in on Dia 2.38 in bolt circle</t>
  </si>
  <si>
    <t xml:space="preserve">OD, thickness, RF dia/height, bolt circle, hole dia/count</t>
  </si>
  <si>
    <t xml:space="preserve">Dimensions, size/class/facing, file links: read from PDF + IGES. Yellow cells (material, stock, qty, operations, times, costs, inspection methods) are ASSUMED placeholders.</t>
  </si>
  <si>
    <t xml:space="preserve">Part number 1002 is an assigned placeholder (not printed on the drawing). Solid blind - IGES contains no bore surface. Drawing gives raised-face height as 0.063 in; the weld neck drawing gives 0.06 in; IGES gives 0.0625 in for both.</t>
  </si>
  <si>
    <t xml:space="preserve">Op No.</t>
  </si>
  <si>
    <t xml:space="preserve">Operation</t>
  </si>
  <si>
    <t xml:space="preserve">Machine / Work Center</t>
  </si>
  <si>
    <t xml:space="preserve">Tooling</t>
  </si>
  <si>
    <t xml:space="preserve">Inspection Method</t>
  </si>
  <si>
    <t xml:space="preserve">Setup Time (min/batch)</t>
  </si>
  <si>
    <t xml:space="preserve">Cycle Time (min/part)</t>
  </si>
  <si>
    <t xml:space="preserve">Incoming inspection</t>
  </si>
  <si>
    <t xml:space="preserve">Check forged blank and material certificate against order</t>
  </si>
  <si>
    <t xml:space="preserve">QC bench</t>
  </si>
  <si>
    <t xml:space="preserve">Calipers</t>
  </si>
  <si>
    <t xml:space="preserve">Visual + certificate check</t>
  </si>
  <si>
    <t xml:space="preserve">ASSUMED (typical process)</t>
  </si>
  <si>
    <t xml:space="preserve">Rough turning</t>
  </si>
  <si>
    <t xml:space="preserve">Rough turn flange OD and back face from forged blank</t>
  </si>
  <si>
    <t xml:space="preserve">CNC lathe</t>
  </si>
  <si>
    <t xml:space="preserve">CNMG 12 04 08 inserts; 3-jaw chuck</t>
  </si>
  <si>
    <t xml:space="preserve">In-process caliper check</t>
  </si>
  <si>
    <t xml:space="preserve">Finish turning</t>
  </si>
  <si>
    <t xml:space="preserve">Finish turn OD (3.50 in), thickness (0.38 in) and raised face (dia 1.38 in x 0.0625 in)</t>
  </si>
  <si>
    <t xml:space="preserve">VNMG/DCMT finishing inserts; grooving tool</t>
  </si>
  <si>
    <t xml:space="preserve">Caliper, depth gauge</t>
  </si>
  <si>
    <t xml:space="preserve">Drill bolt holes</t>
  </si>
  <si>
    <t xml:space="preserve">Drill 4 holes dia 0.62 in equally spaced on 2.38 in bolt circle</t>
  </si>
  <si>
    <t xml:space="preserve">Vertical machining center (indexing fixture)</t>
  </si>
  <si>
    <t xml:space="preserve">Dia 0.62 in (5/8 in) drill; spotting drill</t>
  </si>
  <si>
    <t xml:space="preserve">Bolt-circle gauge, hole-diameter pin gauge</t>
  </si>
  <si>
    <t xml:space="preserve">Deburr</t>
  </si>
  <si>
    <t xml:space="preserve">Break sharp edges, remove burrs from holes</t>
  </si>
  <si>
    <t xml:space="preserve">Bench</t>
  </si>
  <si>
    <t xml:space="preserve">Deburring tool, file</t>
  </si>
  <si>
    <t xml:space="preserve">Visual</t>
  </si>
  <si>
    <t xml:space="preserve">Final inspection</t>
  </si>
  <si>
    <t xml:space="preserve">Check OD, thickness, raised-face dia/height, bolt circle, hole dia and count</t>
  </si>
  <si>
    <t xml:space="preserve">Calipers, depth gauge, pin gauges, bolt-circle gauge</t>
  </si>
  <si>
    <t xml:space="preserve">Full dimensional check vs. drawing</t>
  </si>
  <si>
    <t xml:space="preserve">Marking</t>
  </si>
  <si>
    <t xml:space="preserve">Mark part (size, class, material, heat number)</t>
  </si>
  <si>
    <t xml:space="preserve">Stamp / marking tool</t>
  </si>
  <si>
    <t xml:space="preserve">Feature</t>
  </si>
  <si>
    <t xml:space="preserve">Excel Record (in)</t>
  </si>
  <si>
    <t xml:space="preserve">PDF Drawing (in)</t>
  </si>
  <si>
    <t xml:space="preserve">IGES Model (in)</t>
  </si>
  <si>
    <t xml:space="preserve">Max Spread (in)</t>
  </si>
  <si>
    <t xml:space="preserve">Sources Available</t>
  </si>
  <si>
    <t xml:space="preserve">Status</t>
  </si>
  <si>
    <t xml:space="preserve">Note</t>
  </si>
  <si>
    <t xml:space="preserve">Flange OD</t>
  </si>
  <si>
    <t xml:space="preserve">Drawing shows Dia 3.5 in</t>
  </si>
  <si>
    <t xml:space="preserve">Flange thickness</t>
  </si>
  <si>
    <t xml:space="preserve">Bolt circle dia</t>
  </si>
  <si>
    <t xml:space="preserve">Bolt hole dia</t>
  </si>
  <si>
    <t xml:space="preserve">Bolt hole count</t>
  </si>
  <si>
    <t xml:space="preserve">Count, not a length; holes at 0, 90, 180, 270 deg in IGES</t>
  </si>
  <si>
    <t xml:space="preserve">Raised-face dia</t>
  </si>
  <si>
    <t xml:space="preserve">Raised-face height</t>
  </si>
  <si>
    <t xml:space="preserve">Drawing values are rounded differently between the two parts (0.06 vs 0.063); IGES is 0.0625 for both</t>
  </si>
  <si>
    <t xml:space="preserve">Small engraved feature depth</t>
  </si>
  <si>
    <t xml:space="preserve">IGES only - tiny 0.015 in deep feature on the back face at 1.19 in radius (probably a marking/logo). Not on the drawing; purpose cannot be confirmed from geometry</t>
  </si>
  <si>
    <t xml:space="preserve">Use this sheet to TEST your app: it is the answer key for what a correct Excel-PDF-IGES cross-check should find. Do not feed it to the app.</t>
  </si>
  <si>
    <t xml:space="preserve">Parameter</t>
  </si>
  <si>
    <t xml:space="preserve">Value</t>
  </si>
  <si>
    <t xml:space="preserve">Unit</t>
  </si>
  <si>
    <t xml:space="preserve">Basis</t>
  </si>
  <si>
    <t xml:space="preserve">Blended machine + labor rate</t>
  </si>
  <si>
    <t xml:space="preserve">USD/hr</t>
  </si>
  <si>
    <t xml:space="preserve">ASSUMED placeholder - replace with your shop rate (or change the currency in the cost headers).</t>
  </si>
  <si>
    <t xml:space="preserve">Cross-check tolerance (Answer_Key sheet)</t>
  </si>
  <si>
    <t xml:space="preserve">in</t>
  </si>
  <si>
    <t xml:space="preserve">Drawing dimensions are printed to 2 decimals, so +/-0.005 in is the rounding band. Edit to be stricter or looser.</t>
  </si>
  <si>
    <t xml:space="preserve">README</t>
  </si>
  <si>
    <t xml:space="preserve">Workbook</t>
  </si>
  <si>
    <t xml:space="preserve">Manufacturing record for: FLANGE, BLIND, RF, 1/2 NPS, CLASS 150. Built to test an LLM-based CNC part analysis app.</t>
  </si>
  <si>
    <t xml:space="preserve">Sheets</t>
  </si>
  <si>
    <t xml:space="preserve">Parts = the part row (main lookup table, header in row 1). Operations = operation sequence per part. Answer_Key = Excel vs PDF vs IGES cross-check answer key (for testing, not for the app). Assumptions = rates and tolerance used by formulas.</t>
  </si>
  <si>
    <t xml:space="preserve">Lookup key</t>
  </si>
  <si>
    <t xml:space="preserve">Part Number (column A on Parts and Operations). Parts!D and Parts!E name the PDF and IGES file linked to each part.</t>
  </si>
  <si>
    <t xml:space="preserve">Part numbers</t>
  </si>
  <si>
    <t xml:space="preserve">Part number 1002 is a PLACEHOLDER assigned by us. The drawings only show a size and type, not a part number. Rename freely and keep Parts and Operations in step.</t>
  </si>
  <si>
    <t xml:space="preserve">Blue text</t>
  </si>
  <si>
    <t xml:space="preserve">Hardcoded value read from the PDF drawing or IGES file (or an ID).</t>
  </si>
  <si>
    <t xml:space="preserve">Blue text on YELLOW</t>
  </si>
  <si>
    <t xml:space="preserve">ASSUMED placeholder - NOT in the drawings or IGES: material, raw stock, production quantity, operation sequence, machines, tooling, inspection methods, cycle/setup times, material cost, labor rate. Replace with real shop data if you have it.</t>
  </si>
  <si>
    <t xml:space="preserve">Black text</t>
  </si>
  <si>
    <t xml:space="preserve">Formula (totals, per-part time, cost, spread, status).</t>
  </si>
  <si>
    <t xml:space="preserve">Green text</t>
  </si>
  <si>
    <t xml:space="preserve">Formula that looks up a value on another sheet.</t>
  </si>
  <si>
    <t xml:space="preserve">Where values came from</t>
  </si>
  <si>
    <t xml:space="preserve">PDF values were read from the Texas Flange drawings. IGES values were extracted from the CATIA V5 IGES files (units: inches) by reading the cylinder, cone and plane surfaces of the B-rep model. IGES-only values (weld bevel, small engraved feature) are marked as single source.</t>
  </si>
  <si>
    <t xml:space="preserve">Not in any file</t>
  </si>
  <si>
    <t xml:space="preserve">Material, tolerances, surface finish, weight and heat-treatment are not on the drawings. Do not let the app state them as facts unless they come from this Excel, and then only as the assumed values shown here.</t>
  </si>
  <si>
    <t xml:space="preserve">Example assumed cell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</si>
</sst>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0.0"/>
    <numFmt numFmtId="168" formatCode="0.000"/>
    <numFmt numFmtId="169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5" min="4" style="0" width="38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5" min="13" style="0" width="11"/>
    <col collapsed="false" customWidth="true" hidden="false" outlineLevel="0" max="16" min="16" style="0" width="26"/>
    <col collapsed="false" customWidth="true" hidden="false" outlineLevel="0" max="17" min="17" style="0" width="12"/>
    <col collapsed="false" customWidth="true" hidden="false" outlineLevel="0" max="19" min="18" style="0" width="13"/>
    <col collapsed="false" customWidth="true" hidden="false" outlineLevel="0" max="20" min="20" style="0" width="15"/>
    <col collapsed="false" customWidth="true" hidden="false" outlineLevel="0" max="23" min="21" style="0" width="13"/>
    <col collapsed="false" customWidth="true" hidden="false" outlineLevel="0" max="25" min="24" style="0" width="42"/>
    <col collapsed="false" customWidth="true" hidden="false" outlineLevel="0" max="26" min="26" style="0" width="5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20" hidden="false" customHeight="true" outlineLevel="0" collapsed="false">
      <c r="A2" s="2" t="n">
        <v>1002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3" t="s">
        <v>35</v>
      </c>
      <c r="L2" s="3" t="s">
        <v>36</v>
      </c>
      <c r="M2" s="4" t="n">
        <v>3.5</v>
      </c>
      <c r="N2" s="4" t="n">
        <v>0.38</v>
      </c>
      <c r="O2" s="4" t="s">
        <v>37</v>
      </c>
      <c r="P2" s="2" t="s">
        <v>38</v>
      </c>
      <c r="Q2" s="5" t="n">
        <v>100</v>
      </c>
      <c r="R2" s="6" t="n">
        <f aca="false">SUMIFS(Operations!$H$2:$H$8,Operations!$A$2:$A$8,$A2)</f>
        <v>70</v>
      </c>
      <c r="S2" s="6" t="n">
        <f aca="false">SUMIFS(Operations!$I$2:$I$8,Operations!$A$2:$A$8,$A2)</f>
        <v>13</v>
      </c>
      <c r="T2" s="7" t="n">
        <f aca="false">IF(Q2&gt;0,S2+R2/Q2,S2)</f>
        <v>13.7</v>
      </c>
      <c r="U2" s="8" t="n">
        <v>3</v>
      </c>
      <c r="V2" s="7" t="n">
        <f aca="false">T2/60*Assumptions!$B$2</f>
        <v>6.85</v>
      </c>
      <c r="W2" s="7" t="n">
        <f aca="false">U2+V2</f>
        <v>9.85</v>
      </c>
      <c r="X2" s="3" t="s">
        <v>39</v>
      </c>
      <c r="Y2" s="9" t="s">
        <v>40</v>
      </c>
      <c r="Z2" s="9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9" min="8" style="0" width="13"/>
    <col collapsed="false" customWidth="true" hidden="false" outlineLevel="0" max="10" min="10" style="0" width="22"/>
  </cols>
  <sheetData>
    <row r="1" customFormat="false" ht="42" hidden="false" customHeight="true" outlineLevel="0" collapsed="false">
      <c r="A1" s="1" t="s">
        <v>0</v>
      </c>
      <c r="B1" s="1" t="s">
        <v>42</v>
      </c>
      <c r="C1" s="1" t="s">
        <v>43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24</v>
      </c>
    </row>
    <row r="2" customFormat="false" ht="23.85" hidden="false" customHeight="false" outlineLevel="0" collapsed="false">
      <c r="A2" s="2" t="n">
        <v>1002</v>
      </c>
      <c r="B2" s="3" t="n">
        <v>10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10" t="n">
        <v>0</v>
      </c>
      <c r="I2" s="10" t="n">
        <v>1</v>
      </c>
      <c r="J2" s="9" t="s">
        <v>54</v>
      </c>
    </row>
    <row r="3" customFormat="false" ht="23.85" hidden="false" customHeight="false" outlineLevel="0" collapsed="false">
      <c r="A3" s="2" t="n">
        <v>1002</v>
      </c>
      <c r="B3" s="3" t="n">
        <v>20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10" t="n">
        <v>25</v>
      </c>
      <c r="I3" s="10" t="n">
        <v>2.5</v>
      </c>
      <c r="J3" s="9" t="s">
        <v>54</v>
      </c>
    </row>
    <row r="4" customFormat="false" ht="23.85" hidden="false" customHeight="false" outlineLevel="0" collapsed="false">
      <c r="A4" s="2" t="n">
        <v>1002</v>
      </c>
      <c r="B4" s="3" t="n">
        <v>30</v>
      </c>
      <c r="C4" s="3" t="s">
        <v>60</v>
      </c>
      <c r="D4" s="3" t="s">
        <v>61</v>
      </c>
      <c r="E4" s="3" t="s">
        <v>57</v>
      </c>
      <c r="F4" s="3" t="s">
        <v>62</v>
      </c>
      <c r="G4" s="3" t="s">
        <v>63</v>
      </c>
      <c r="H4" s="10" t="n">
        <v>15</v>
      </c>
      <c r="I4" s="10" t="n">
        <v>3.5</v>
      </c>
      <c r="J4" s="9" t="s">
        <v>54</v>
      </c>
    </row>
    <row r="5" customFormat="false" ht="23.85" hidden="false" customHeight="false" outlineLevel="0" collapsed="false">
      <c r="A5" s="2" t="n">
        <v>1002</v>
      </c>
      <c r="B5" s="3" t="n">
        <v>40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68</v>
      </c>
      <c r="H5" s="10" t="n">
        <v>25</v>
      </c>
      <c r="I5" s="10" t="n">
        <v>2.5</v>
      </c>
      <c r="J5" s="9" t="s">
        <v>54</v>
      </c>
    </row>
    <row r="6" customFormat="false" ht="23.85" hidden="false" customHeight="false" outlineLevel="0" collapsed="false">
      <c r="A6" s="2" t="n">
        <v>1002</v>
      </c>
      <c r="B6" s="3" t="n">
        <v>50</v>
      </c>
      <c r="C6" s="3" t="s">
        <v>69</v>
      </c>
      <c r="D6" s="3" t="s">
        <v>70</v>
      </c>
      <c r="E6" s="3" t="s">
        <v>71</v>
      </c>
      <c r="F6" s="3" t="s">
        <v>72</v>
      </c>
      <c r="G6" s="3" t="s">
        <v>73</v>
      </c>
      <c r="H6" s="10" t="n">
        <v>0</v>
      </c>
      <c r="I6" s="10" t="n">
        <v>1</v>
      </c>
      <c r="J6" s="9" t="s">
        <v>54</v>
      </c>
    </row>
    <row r="7" customFormat="false" ht="23.85" hidden="false" customHeight="false" outlineLevel="0" collapsed="false">
      <c r="A7" s="2" t="n">
        <v>1002</v>
      </c>
      <c r="B7" s="3" t="n">
        <v>60</v>
      </c>
      <c r="C7" s="3" t="s">
        <v>74</v>
      </c>
      <c r="D7" s="3" t="s">
        <v>75</v>
      </c>
      <c r="E7" s="3" t="s">
        <v>51</v>
      </c>
      <c r="F7" s="3" t="s">
        <v>76</v>
      </c>
      <c r="G7" s="3" t="s">
        <v>77</v>
      </c>
      <c r="H7" s="10" t="n">
        <v>5</v>
      </c>
      <c r="I7" s="10" t="n">
        <v>2</v>
      </c>
      <c r="J7" s="9" t="s">
        <v>54</v>
      </c>
    </row>
    <row r="8" customFormat="false" ht="23.85" hidden="false" customHeight="false" outlineLevel="0" collapsed="false">
      <c r="A8" s="2" t="n">
        <v>1002</v>
      </c>
      <c r="B8" s="3" t="n">
        <v>70</v>
      </c>
      <c r="C8" s="3" t="s">
        <v>78</v>
      </c>
      <c r="D8" s="3" t="s">
        <v>79</v>
      </c>
      <c r="E8" s="3" t="s">
        <v>71</v>
      </c>
      <c r="F8" s="3" t="s">
        <v>80</v>
      </c>
      <c r="G8" s="3" t="s">
        <v>73</v>
      </c>
      <c r="H8" s="10" t="n">
        <v>0</v>
      </c>
      <c r="I8" s="10" t="n">
        <v>0.5</v>
      </c>
      <c r="J8" s="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5" min="3" style="0" width="13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42" hidden="false" customHeight="true" outlineLevel="0" collapsed="false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customFormat="false" ht="15" hidden="false" customHeight="false" outlineLevel="0" collapsed="false">
      <c r="A2" s="2" t="n">
        <v>1002</v>
      </c>
      <c r="B2" s="9" t="s">
        <v>89</v>
      </c>
      <c r="C2" s="11" t="n">
        <f aca="false">INDEX(Parts!$M$2:$M$50,MATCH($A2,Parts!$A$2:$A$50,0))</f>
        <v>3.5</v>
      </c>
      <c r="D2" s="12" t="n">
        <v>3.5</v>
      </c>
      <c r="E2" s="13" t="n">
        <v>3.5</v>
      </c>
      <c r="F2" s="14" t="n">
        <f aca="false">IF(G2&gt;=2,MAX(C2:E2)-MIN(C2:E2),"")</f>
        <v>0</v>
      </c>
      <c r="G2" s="15" t="n">
        <f aca="false">COUNT(C2:E2)</f>
        <v>3</v>
      </c>
      <c r="H2" s="9" t="str">
        <f aca="false">IF(G2&lt;2,"SINGLE SOURCE",IF(F2&lt;=Assumptions!$B$3,"MATCH","CHECK"))</f>
        <v>MATCH</v>
      </c>
      <c r="I2" s="9" t="s">
        <v>90</v>
      </c>
    </row>
    <row r="3" customFormat="false" ht="15" hidden="false" customHeight="false" outlineLevel="0" collapsed="false">
      <c r="A3" s="2" t="n">
        <v>1002</v>
      </c>
      <c r="B3" s="9" t="s">
        <v>91</v>
      </c>
      <c r="C3" s="11" t="n">
        <f aca="false">INDEX(Parts!$N$2:$N$50,MATCH($A3,Parts!$A$2:$A$50,0))</f>
        <v>0.38</v>
      </c>
      <c r="D3" s="12" t="n">
        <v>0.38</v>
      </c>
      <c r="E3" s="13" t="n">
        <v>0.38</v>
      </c>
      <c r="F3" s="14" t="n">
        <f aca="false">IF(G3&gt;=2,MAX(C3:E3)-MIN(C3:E3),"")</f>
        <v>0</v>
      </c>
      <c r="G3" s="15" t="n">
        <f aca="false">COUNT(C3:E3)</f>
        <v>3</v>
      </c>
      <c r="H3" s="9" t="str">
        <f aca="false">IF(G3&lt;2,"SINGLE SOURCE",IF(F3&lt;=Assumptions!$B$3,"MATCH","CHECK"))</f>
        <v>MATCH</v>
      </c>
      <c r="I3" s="9"/>
    </row>
    <row r="4" customFormat="false" ht="15" hidden="false" customHeight="false" outlineLevel="0" collapsed="false">
      <c r="A4" s="2" t="n">
        <v>1002</v>
      </c>
      <c r="B4" s="9" t="s">
        <v>92</v>
      </c>
      <c r="C4" s="9"/>
      <c r="D4" s="12" t="n">
        <v>2.38</v>
      </c>
      <c r="E4" s="13" t="n">
        <v>2.38</v>
      </c>
      <c r="F4" s="14" t="n">
        <f aca="false">IF(G4&gt;=2,MAX(C4:E4)-MIN(C4:E4),"")</f>
        <v>0</v>
      </c>
      <c r="G4" s="15" t="n">
        <f aca="false">COUNT(C4:E4)</f>
        <v>2</v>
      </c>
      <c r="H4" s="9" t="str">
        <f aca="false">IF(G4&lt;2,"SINGLE SOURCE",IF(F4&lt;=Assumptions!$B$3,"MATCH","CHECK"))</f>
        <v>MATCH</v>
      </c>
      <c r="I4" s="9"/>
    </row>
    <row r="5" customFormat="false" ht="15" hidden="false" customHeight="false" outlineLevel="0" collapsed="false">
      <c r="A5" s="2" t="n">
        <v>1002</v>
      </c>
      <c r="B5" s="9" t="s">
        <v>93</v>
      </c>
      <c r="C5" s="9"/>
      <c r="D5" s="12" t="n">
        <v>0.62</v>
      </c>
      <c r="E5" s="13" t="n">
        <v>0.62</v>
      </c>
      <c r="F5" s="14" t="n">
        <f aca="false">IF(G5&gt;=2,MAX(C5:E5)-MIN(C5:E5),"")</f>
        <v>0</v>
      </c>
      <c r="G5" s="15" t="n">
        <f aca="false">COUNT(C5:E5)</f>
        <v>2</v>
      </c>
      <c r="H5" s="9" t="str">
        <f aca="false">IF(G5&lt;2,"SINGLE SOURCE",IF(F5&lt;=Assumptions!$B$3,"MATCH","CHECK"))</f>
        <v>MATCH</v>
      </c>
      <c r="I5" s="9"/>
    </row>
    <row r="6" customFormat="false" ht="15" hidden="false" customHeight="false" outlineLevel="0" collapsed="false">
      <c r="A6" s="2" t="n">
        <v>1002</v>
      </c>
      <c r="B6" s="9" t="s">
        <v>94</v>
      </c>
      <c r="C6" s="9"/>
      <c r="D6" s="12" t="n">
        <v>4</v>
      </c>
      <c r="E6" s="13" t="n">
        <v>4</v>
      </c>
      <c r="F6" s="14" t="n">
        <f aca="false">IF(G6&gt;=2,MAX(C6:E6)-MIN(C6:E6),"")</f>
        <v>0</v>
      </c>
      <c r="G6" s="15" t="n">
        <f aca="false">COUNT(C6:E6)</f>
        <v>2</v>
      </c>
      <c r="H6" s="9" t="str">
        <f aca="false">IF(G6&lt;2,"SINGLE SOURCE",IF(F6&lt;=Assumptions!$B$3,"MATCH","CHECK"))</f>
        <v>MATCH</v>
      </c>
      <c r="I6" s="9" t="s">
        <v>95</v>
      </c>
    </row>
    <row r="7" customFormat="false" ht="15" hidden="false" customHeight="false" outlineLevel="0" collapsed="false">
      <c r="A7" s="2" t="n">
        <v>1002</v>
      </c>
      <c r="B7" s="9" t="s">
        <v>96</v>
      </c>
      <c r="C7" s="9"/>
      <c r="D7" s="12" t="n">
        <v>1.38</v>
      </c>
      <c r="E7" s="13" t="n">
        <v>1.38</v>
      </c>
      <c r="F7" s="14" t="n">
        <f aca="false">IF(G7&gt;=2,MAX(C7:E7)-MIN(C7:E7),"")</f>
        <v>0</v>
      </c>
      <c r="G7" s="15" t="n">
        <f aca="false">COUNT(C7:E7)</f>
        <v>2</v>
      </c>
      <c r="H7" s="9" t="str">
        <f aca="false">IF(G7&lt;2,"SINGLE SOURCE",IF(F7&lt;=Assumptions!$B$3,"MATCH","CHECK"))</f>
        <v>MATCH</v>
      </c>
      <c r="I7" s="9"/>
    </row>
    <row r="8" customFormat="false" ht="23.85" hidden="false" customHeight="false" outlineLevel="0" collapsed="false">
      <c r="A8" s="2" t="n">
        <v>1002</v>
      </c>
      <c r="B8" s="9" t="s">
        <v>97</v>
      </c>
      <c r="C8" s="9"/>
      <c r="D8" s="12" t="n">
        <v>0.063</v>
      </c>
      <c r="E8" s="13" t="n">
        <v>0.0625</v>
      </c>
      <c r="F8" s="14" t="n">
        <f aca="false">IF(G8&gt;=2,MAX(C8:E8)-MIN(C8:E8),"")</f>
        <v>0.0005</v>
      </c>
      <c r="G8" s="15" t="n">
        <f aca="false">COUNT(C8:E8)</f>
        <v>2</v>
      </c>
      <c r="H8" s="9" t="str">
        <f aca="false">IF(G8&lt;2,"SINGLE SOURCE",IF(F8&lt;=Assumptions!$B$3,"MATCH","CHECK"))</f>
        <v>MATCH</v>
      </c>
      <c r="I8" s="9" t="s">
        <v>98</v>
      </c>
    </row>
    <row r="9" customFormat="false" ht="23.85" hidden="false" customHeight="false" outlineLevel="0" collapsed="false">
      <c r="A9" s="2" t="n">
        <v>1002</v>
      </c>
      <c r="B9" s="9" t="s">
        <v>99</v>
      </c>
      <c r="C9" s="9"/>
      <c r="D9" s="12"/>
      <c r="E9" s="13" t="n">
        <v>0.015</v>
      </c>
      <c r="F9" s="14" t="str">
        <f aca="false">IF(G9&gt;=2,MAX(C9:E9)-MIN(C9:E9),"")</f>
        <v/>
      </c>
      <c r="G9" s="15" t="n">
        <f aca="false">COUNT(C9:E9)</f>
        <v>1</v>
      </c>
      <c r="H9" s="9" t="str">
        <f aca="false">IF(G9&lt;2,"SINGLE SOURCE",IF(F9&lt;=Assumptions!$B$3,"MATCH","CHECK"))</f>
        <v>SINGLE SOURCE</v>
      </c>
      <c r="I9" s="9" t="s">
        <v>100</v>
      </c>
    </row>
    <row r="11" customFormat="false" ht="15" hidden="false" customHeight="false" outlineLevel="0" collapsed="false">
      <c r="A11" s="1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42" hidden="false" customHeight="true" outlineLevel="0" collapsed="false">
      <c r="A1" s="1" t="s">
        <v>102</v>
      </c>
      <c r="B1" s="1" t="s">
        <v>103</v>
      </c>
      <c r="C1" s="1" t="s">
        <v>104</v>
      </c>
      <c r="D1" s="1" t="s">
        <v>105</v>
      </c>
    </row>
    <row r="2" customFormat="false" ht="15" hidden="false" customHeight="false" outlineLevel="0" collapsed="false">
      <c r="A2" s="9" t="s">
        <v>106</v>
      </c>
      <c r="B2" s="8" t="n">
        <v>30</v>
      </c>
      <c r="C2" s="9" t="s">
        <v>107</v>
      </c>
      <c r="D2" s="9" t="s">
        <v>108</v>
      </c>
    </row>
    <row r="3" customFormat="false" ht="23.85" hidden="false" customHeight="false" outlineLevel="0" collapsed="false">
      <c r="A3" s="9" t="s">
        <v>109</v>
      </c>
      <c r="B3" s="12" t="n">
        <v>0.005</v>
      </c>
      <c r="C3" s="9" t="s">
        <v>110</v>
      </c>
      <c r="D3" s="9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7" t="s">
        <v>112</v>
      </c>
    </row>
    <row r="3" customFormat="false" ht="48" hidden="false" customHeight="true" outlineLevel="0" collapsed="false">
      <c r="A3" s="18" t="s">
        <v>113</v>
      </c>
      <c r="B3" s="19" t="s">
        <v>114</v>
      </c>
    </row>
    <row r="4" customFormat="false" ht="48" hidden="false" customHeight="true" outlineLevel="0" collapsed="false">
      <c r="A4" s="18" t="s">
        <v>115</v>
      </c>
      <c r="B4" s="19" t="s">
        <v>116</v>
      </c>
    </row>
    <row r="5" customFormat="false" ht="48" hidden="false" customHeight="true" outlineLevel="0" collapsed="false">
      <c r="A5" s="18" t="s">
        <v>117</v>
      </c>
      <c r="B5" s="19" t="s">
        <v>118</v>
      </c>
    </row>
    <row r="6" customFormat="false" ht="48" hidden="false" customHeight="true" outlineLevel="0" collapsed="false">
      <c r="A6" s="18" t="s">
        <v>119</v>
      </c>
      <c r="B6" s="19" t="s">
        <v>120</v>
      </c>
    </row>
    <row r="7" customFormat="false" ht="48" hidden="false" customHeight="true" outlineLevel="0" collapsed="false">
      <c r="A7" s="18" t="s">
        <v>121</v>
      </c>
      <c r="B7" s="19" t="s">
        <v>122</v>
      </c>
    </row>
    <row r="8" customFormat="false" ht="48" hidden="false" customHeight="true" outlineLevel="0" collapsed="false">
      <c r="A8" s="18" t="s">
        <v>123</v>
      </c>
      <c r="B8" s="19" t="s">
        <v>124</v>
      </c>
    </row>
    <row r="9" customFormat="false" ht="48" hidden="false" customHeight="true" outlineLevel="0" collapsed="false">
      <c r="A9" s="18" t="s">
        <v>125</v>
      </c>
      <c r="B9" s="19" t="s">
        <v>126</v>
      </c>
    </row>
    <row r="10" customFormat="false" ht="48" hidden="false" customHeight="true" outlineLevel="0" collapsed="false">
      <c r="A10" s="18" t="s">
        <v>127</v>
      </c>
      <c r="B10" s="19" t="s">
        <v>128</v>
      </c>
    </row>
    <row r="11" customFormat="false" ht="48" hidden="false" customHeight="true" outlineLevel="0" collapsed="false">
      <c r="A11" s="18" t="s">
        <v>129</v>
      </c>
      <c r="B11" s="19" t="s">
        <v>130</v>
      </c>
    </row>
    <row r="12" customFormat="false" ht="48" hidden="false" customHeight="true" outlineLevel="0" collapsed="false">
      <c r="A12" s="18" t="s">
        <v>131</v>
      </c>
      <c r="B12" s="19" t="s">
        <v>132</v>
      </c>
    </row>
    <row r="15" customFormat="false" ht="15" hidden="false" customHeight="false" outlineLevel="0" collapsed="false">
      <c r="A15" s="2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2026-10-26T08:24:24Z</dcterms:created>
  <dc:creator>openpyxl</dc:creator>
  <dc:description/>
  <dc:language>en-US</dc:language>
  <cp:lastModifiedBy/>
  <dcterms:modified xsi:type="dcterms:W3CDTF">2026-10-26T08:24:24Z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